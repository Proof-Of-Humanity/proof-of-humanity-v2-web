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Active Registration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cols>
    <col min="1" max="2" width="46" customWidth="1"/>
    <col min="3" max="3" width="14" customWidth="1"/>
    <col min="4" max="4" width="22" customWidth="1"/>
  </cols>
  <sheetData>
    <row r="1">
      <c r="A1" t="inlineStr">
        <is>
          <t>pohid</t>
        </is>
      </c>
      <c r="B1" t="inlineStr">
        <is>
          <t>address</t>
        </is>
      </c>
      <c r="C1" t="inlineStr">
        <is>
          <t>chain</t>
        </is>
      </c>
      <c r="D1" t="inlineStr">
        <is>
          <t>profile_link</t>
        </is>
      </c>
    </row>
    <row r="2">
      <c r="A2" t="inlineStr">
        <is>
          <t>0x0c120205a493ea0bbd71256073298ed2ba629338</t>
        </is>
      </c>
      <c r="B2" t="inlineStr">
        <is>
          <t>0x0c120205a493ea0bbd71256073298ed2ba629338</t>
        </is>
      </c>
      <c r="C2" t="inlineStr">
        <is>
          <t>ethereum</t>
        </is>
      </c>
      <c r="D2">
        <f>HYPERLINK("https://v2.proofofhumanity.id/0x0c120205a493ea0bbd71256073298ed2ba629338","Open profile")</f>
      </c>
    </row>
    <row r="3">
      <c r="A3" t="inlineStr">
        <is>
          <t>0x1adc57ff4267dfbb04d2fcb2a17516f526593336</t>
        </is>
      </c>
      <c r="B3" t="inlineStr">
        <is>
          <t>0x1adc57ff4267dfbb04d2fcb2a17516f526593336</t>
        </is>
      </c>
      <c r="C3" t="inlineStr">
        <is>
          <t>ethereum</t>
        </is>
      </c>
      <c r="D3">
        <f>HYPERLINK("https://v2.proofofhumanity.id/0x1adc57ff4267dfbb04d2fcb2a17516f526593336","Open profile")</f>
      </c>
    </row>
    <row r="4">
      <c r="A4" t="inlineStr">
        <is>
          <t>0x1cbe86f18a64b4d31ce661ee6285b626113c3ce4</t>
        </is>
      </c>
      <c r="B4" t="inlineStr">
        <is>
          <t>0x1cbe86f18a64b4d31ce661ee6285b626113c3ce4</t>
        </is>
      </c>
      <c r="C4" t="inlineStr">
        <is>
          <t>ethereum</t>
        </is>
      </c>
      <c r="D4">
        <f>HYPERLINK("https://v2.proofofhumanity.id/0x1cbe86f18a64b4d31ce661ee6285b626113c3ce4","Open profile")</f>
      </c>
    </row>
    <row r="5">
      <c r="A5" t="inlineStr">
        <is>
          <t>0x2261916877d90d59388a7dbb81d0c1eb22739e67</t>
        </is>
      </c>
      <c r="B5" t="inlineStr">
        <is>
          <t>0x2261916877d90d59388a7dbb81d0c1eb22739e67</t>
        </is>
      </c>
      <c r="C5" t="inlineStr">
        <is>
          <t>ethereum</t>
        </is>
      </c>
      <c r="D5">
        <f>HYPERLINK("https://v2.proofofhumanity.id/0x2261916877d90d59388a7dbb81d0c1eb22739e67","Open profile")</f>
      </c>
    </row>
    <row r="6">
      <c r="A6" t="inlineStr">
        <is>
          <t>0x3b2346e78f8051eb5cbc1848547949204c1059c0</t>
        </is>
      </c>
      <c r="B6" t="inlineStr">
        <is>
          <t>0x3b2346e78f8051eb5cbc1848547949204c1059c0</t>
        </is>
      </c>
      <c r="C6" t="inlineStr">
        <is>
          <t>ethereum</t>
        </is>
      </c>
      <c r="D6">
        <f>HYPERLINK("https://v2.proofofhumanity.id/0x3b2346e78f8051eb5cbc1848547949204c1059c0","Open profile")</f>
      </c>
    </row>
    <row r="7">
      <c r="A7" t="inlineStr">
        <is>
          <t>0x3bf37f42b3a21655378bf409d9160855fec8c401</t>
        </is>
      </c>
      <c r="B7" t="inlineStr">
        <is>
          <t>0x3bf37f42b3a21655378bf409d9160855fec8c401</t>
        </is>
      </c>
      <c r="C7" t="inlineStr">
        <is>
          <t>ethereum</t>
        </is>
      </c>
      <c r="D7">
        <f>HYPERLINK("https://v2.proofofhumanity.id/0x3bf37f42b3a21655378bf409d9160855fec8c401","Open profile")</f>
      </c>
    </row>
    <row r="8">
      <c r="A8" t="inlineStr">
        <is>
          <t>0x3c199aa289f6d452908b0d58472b2c3f2da17793</t>
        </is>
      </c>
      <c r="B8" t="inlineStr">
        <is>
          <t>0x3c199aa289f6d452908b0d58472b2c3f2da17793</t>
        </is>
      </c>
      <c r="C8" t="inlineStr">
        <is>
          <t>ethereum</t>
        </is>
      </c>
      <c r="D8">
        <f>HYPERLINK("https://v2.proofofhumanity.id/0x3c199aa289f6d452908b0d58472b2c3f2da17793","Open profile")</f>
      </c>
    </row>
    <row r="9">
      <c r="A9" t="inlineStr">
        <is>
          <t>0x41cd6228341ea33e8d9659f09bf0e5aadc54c5e7</t>
        </is>
      </c>
      <c r="B9" t="inlineStr">
        <is>
          <t>0x41cd6228341ea33e8d9659f09bf0e5aadc54c5e7</t>
        </is>
      </c>
      <c r="C9" t="inlineStr">
        <is>
          <t>ethereum</t>
        </is>
      </c>
      <c r="D9">
        <f>HYPERLINK("https://v2.proofofhumanity.id/0x41cd6228341ea33e8d9659f09bf0e5aadc54c5e7","Open profile")</f>
      </c>
    </row>
    <row r="10">
      <c r="A10" t="inlineStr">
        <is>
          <t>0x423a9a8aff6d51d7aae8055ffa0072afd26ad1f0</t>
        </is>
      </c>
      <c r="B10" t="inlineStr">
        <is>
          <t>0x423a9a8aff6d51d7aae8055ffa0072afd26ad1f0</t>
        </is>
      </c>
      <c r="C10" t="inlineStr">
        <is>
          <t>ethereum</t>
        </is>
      </c>
      <c r="D10">
        <f>HYPERLINK("https://v2.proofofhumanity.id/0x423a9a8aff6d51d7aae8055ffa0072afd26ad1f0","Open profile")</f>
      </c>
    </row>
    <row r="11">
      <c r="A11" t="inlineStr">
        <is>
          <t>0x4fde747eed69b0b3eb6d0051ea395f4fc9227648</t>
        </is>
      </c>
      <c r="B11" t="inlineStr">
        <is>
          <t>0x4fde747eed69b0b3eb6d0051ea395f4fc9227648</t>
        </is>
      </c>
      <c r="C11" t="inlineStr">
        <is>
          <t>ethereum</t>
        </is>
      </c>
      <c r="D11">
        <f>HYPERLINK("https://v2.proofofhumanity.id/0x4fde747eed69b0b3eb6d0051ea395f4fc9227648","Open profile")</f>
      </c>
    </row>
    <row r="12">
      <c r="A12" t="inlineStr">
        <is>
          <t>0x527206814eea8fcd603e500c776159f19a57a19d</t>
        </is>
      </c>
      <c r="B12" t="inlineStr">
        <is>
          <t>0x527206814eea8fcd603e500c776159f19a57a19d</t>
        </is>
      </c>
      <c r="C12" t="inlineStr">
        <is>
          <t>ethereum</t>
        </is>
      </c>
      <c r="D12">
        <f>HYPERLINK("https://v2.proofofhumanity.id/0x527206814eea8fcd603e500c776159f19a57a19d","Open profile")</f>
      </c>
    </row>
    <row r="13">
      <c r="A13" t="inlineStr">
        <is>
          <t>0x54000024d140ff879a91f99657c217e1256f5099</t>
        </is>
      </c>
      <c r="B13" t="inlineStr">
        <is>
          <t>0x54000024d140ff879a91f99657c217e1256f5099</t>
        </is>
      </c>
      <c r="C13" t="inlineStr">
        <is>
          <t>ethereum</t>
        </is>
      </c>
      <c r="D13">
        <f>HYPERLINK("https://v2.proofofhumanity.id/0x54000024d140ff879a91f99657c217e1256f5099","Open profile")</f>
      </c>
    </row>
    <row r="14">
      <c r="A14" t="inlineStr">
        <is>
          <t>0x5bc9ebadb32b4b241ac45214ad9fccd910f55f1e</t>
        </is>
      </c>
      <c r="B14" t="inlineStr">
        <is>
          <t>0x5bc9ebadb32b4b241ac45214ad9fccd910f55f1e</t>
        </is>
      </c>
      <c r="C14" t="inlineStr">
        <is>
          <t>ethereum</t>
        </is>
      </c>
      <c r="D14">
        <f>HYPERLINK("https://v2.proofofhumanity.id/0x5bc9ebadb32b4b241ac45214ad9fccd910f55f1e","Open profile")</f>
      </c>
    </row>
    <row r="15">
      <c r="A15" t="inlineStr">
        <is>
          <t>0x8882a0ac672e6bf7bb554c9e6462827d18990879</t>
        </is>
      </c>
      <c r="B15" t="inlineStr">
        <is>
          <t>0x8882a0ac672e6bf7bb554c9e6462827d18990879</t>
        </is>
      </c>
      <c r="C15" t="inlineStr">
        <is>
          <t>ethereum</t>
        </is>
      </c>
      <c r="D15">
        <f>HYPERLINK("https://v2.proofofhumanity.id/0x8882a0ac672e6bf7bb554c9e6462827d18990879","Open profile")</f>
      </c>
    </row>
    <row r="16">
      <c r="A16" t="inlineStr">
        <is>
          <t>0x8d46e0c5514161465a1b3b796c4e1ca186581b98</t>
        </is>
      </c>
      <c r="B16" t="inlineStr">
        <is>
          <t>0x8d46e0c5514161465a1b3b796c4e1ca186581b98</t>
        </is>
      </c>
      <c r="C16" t="inlineStr">
        <is>
          <t>ethereum</t>
        </is>
      </c>
      <c r="D16">
        <f>HYPERLINK("https://v2.proofofhumanity.id/0x8d46e0c5514161465a1b3b796c4e1ca186581b98","Open profile")</f>
      </c>
    </row>
    <row r="17">
      <c r="A17" t="inlineStr">
        <is>
          <t>0x9164d5b942459d434eb1ac711875f4dc54dabe44</t>
        </is>
      </c>
      <c r="B17" t="inlineStr">
        <is>
          <t>0x9164d5b942459d434eb1ac711875f4dc54dabe44</t>
        </is>
      </c>
      <c r="C17" t="inlineStr">
        <is>
          <t>ethereum</t>
        </is>
      </c>
      <c r="D17">
        <f>HYPERLINK("https://v2.proofofhumanity.id/0x9164d5b942459d434eb1ac711875f4dc54dabe44","Open profile")</f>
      </c>
    </row>
    <row r="18">
      <c r="A18" t="inlineStr">
        <is>
          <t>0x9745f44d4311132adfd17f0ab86c0eeeea82c6d0</t>
        </is>
      </c>
      <c r="B18" t="inlineStr">
        <is>
          <t>0x9745f44d4311132adfd17f0ab86c0eeeea82c6d0</t>
        </is>
      </c>
      <c r="C18" t="inlineStr">
        <is>
          <t>ethereum</t>
        </is>
      </c>
      <c r="D18">
        <f>HYPERLINK("https://v2.proofofhumanity.id/0x9745f44d4311132adfd17f0ab86c0eeeea82c6d0","Open profile")</f>
      </c>
    </row>
    <row r="19">
      <c r="A19" t="inlineStr">
        <is>
          <t>0xbfec7e06efd2abc89b7fc9c86b1107790f1b494b</t>
        </is>
      </c>
      <c r="B19" t="inlineStr">
        <is>
          <t>0xbfec7e06efd2abc89b7fc9c86b1107790f1b494b</t>
        </is>
      </c>
      <c r="C19" t="inlineStr">
        <is>
          <t>ethereum</t>
        </is>
      </c>
      <c r="D19">
        <f>HYPERLINK("https://v2.proofofhumanity.id/0xbfec7e06efd2abc89b7fc9c86b1107790f1b494b","Open profile")</f>
      </c>
    </row>
    <row r="20">
      <c r="A20" t="inlineStr">
        <is>
          <t>0xc6f1035e132469d58f9a11b5db00999a11288450</t>
        </is>
      </c>
      <c r="B20" t="inlineStr">
        <is>
          <t>0xc6f1035e132469d58f9a11b5db00999a11288450</t>
        </is>
      </c>
      <c r="C20" t="inlineStr">
        <is>
          <t>ethereum</t>
        </is>
      </c>
      <c r="D20">
        <f>HYPERLINK("https://v2.proofofhumanity.id/0xc6f1035e132469d58f9a11b5db00999a11288450","Open profile")</f>
      </c>
    </row>
    <row r="21">
      <c r="A21" t="inlineStr">
        <is>
          <t>0xc6ff74b642f04e46b91bf445488606904e0136aa</t>
        </is>
      </c>
      <c r="B21" t="inlineStr">
        <is>
          <t>0xc6ff74b642f04e46b91bf445488606904e0136aa</t>
        </is>
      </c>
      <c r="C21" t="inlineStr">
        <is>
          <t>ethereum</t>
        </is>
      </c>
      <c r="D21">
        <f>HYPERLINK("https://v2.proofofhumanity.id/0xc6ff74b642f04e46b91bf445488606904e0136aa","Open profile")</f>
      </c>
    </row>
    <row r="22">
      <c r="A22" t="inlineStr">
        <is>
          <t>0xe62765301fed9103cad2b7fccd24b2f120166e89</t>
        </is>
      </c>
      <c r="B22" t="inlineStr">
        <is>
          <t>0xe62765301fed9103cad2b7fccd24b2f120166e89</t>
        </is>
      </c>
      <c r="C22" t="inlineStr">
        <is>
          <t>ethereum</t>
        </is>
      </c>
      <c r="D22">
        <f>HYPERLINK("https://v2.proofofhumanity.id/0xe62765301fed9103cad2b7fccd24b2f120166e89","Open profile")</f>
      </c>
    </row>
    <row r="23">
      <c r="A23" t="inlineStr">
        <is>
          <t>0xe6c3fb54054547ed12205bf5cfc298ffc8188e88</t>
        </is>
      </c>
      <c r="B23" t="inlineStr">
        <is>
          <t>0xe6c3fb54054547ed12205bf5cfc298ffc8188e88</t>
        </is>
      </c>
      <c r="C23" t="inlineStr">
        <is>
          <t>ethereum</t>
        </is>
      </c>
      <c r="D23">
        <f>HYPERLINK("https://v2.proofofhumanity.id/0xe6c3fb54054547ed12205bf5cfc298ffc8188e88","Open profile")</f>
      </c>
    </row>
    <row r="24">
      <c r="A24" t="inlineStr">
        <is>
          <t>0xefe720410ef0015638047395c229bf67c2af3954</t>
        </is>
      </c>
      <c r="B24" t="inlineStr">
        <is>
          <t>0xefe720410ef0015638047395c229bf67c2af3954</t>
        </is>
      </c>
      <c r="C24" t="inlineStr">
        <is>
          <t>ethereum</t>
        </is>
      </c>
      <c r="D24">
        <f>HYPERLINK("https://v2.proofofhumanity.id/0xefe720410ef0015638047395c229bf67c2af3954","Open profile")</f>
      </c>
    </row>
    <row r="25">
      <c r="A25" t="inlineStr">
        <is>
          <t>0xfa148900c6f49949b4bc182e3c78d0eb1e71689f</t>
        </is>
      </c>
      <c r="B25" t="inlineStr">
        <is>
          <t>0xfa148900c6f49949b4bc182e3c78d0eb1e71689f</t>
        </is>
      </c>
      <c r="C25" t="inlineStr">
        <is>
          <t>ethereum</t>
        </is>
      </c>
      <c r="D25">
        <f>HYPERLINK("https://v2.proofofhumanity.id/0xfa148900c6f49949b4bc182e3c78d0eb1e71689f","Open profile")</f>
      </c>
    </row>
    <row r="26">
      <c r="A26" t="inlineStr">
        <is>
          <t>0x009a7ae1b86bb74fb1455248543294c4dc8921f8</t>
        </is>
      </c>
      <c r="B26" t="inlineStr">
        <is>
          <t>0x009a7ae1b86bb74fb1455248543294c4dc8921f8</t>
        </is>
      </c>
      <c r="C26" t="inlineStr">
        <is>
          <t>gnosis</t>
        </is>
      </c>
      <c r="D26">
        <f>HYPERLINK("https://v2.proofofhumanity.id/0x009a7ae1b86bb74fb1455248543294c4dc8921f8","Open profile")</f>
      </c>
    </row>
    <row r="27">
      <c r="A27" t="inlineStr">
        <is>
          <t>0x01fb4973bc6ec3fe822db1392382d659fcf7ad56</t>
        </is>
      </c>
      <c r="B27" t="inlineStr">
        <is>
          <t>0x01fb4973bc6ec3fe822db1392382d659fcf7ad56</t>
        </is>
      </c>
      <c r="C27" t="inlineStr">
        <is>
          <t>gnosis</t>
        </is>
      </c>
      <c r="D27">
        <f>HYPERLINK("https://v2.proofofhumanity.id/0x01fb4973bc6ec3fe822db1392382d659fcf7ad56","Open profile")</f>
      </c>
    </row>
    <row r="28">
      <c r="A28" t="inlineStr">
        <is>
          <t>0x0bfc9d7b6d7b1363d5820aa562bfa6831e932a98</t>
        </is>
      </c>
      <c r="B28" t="inlineStr">
        <is>
          <t>0x0bfc9d7b6d7b1363d5820aa562bfa6831e932a98</t>
        </is>
      </c>
      <c r="C28" t="inlineStr">
        <is>
          <t>gnosis</t>
        </is>
      </c>
      <c r="D28">
        <f>HYPERLINK("https://v2.proofofhumanity.id/0x0bfc9d7b6d7b1363d5820aa562bfa6831e932a98","Open profile")</f>
      </c>
    </row>
    <row r="29">
      <c r="A29" t="inlineStr">
        <is>
          <t>0x12c8585b54220fb7b59599b51f76cac4e12f55fe</t>
        </is>
      </c>
      <c r="B29" t="inlineStr">
        <is>
          <t>0x12c8585b54220fb7b59599b51f76cac4e12f55fe</t>
        </is>
      </c>
      <c r="C29" t="inlineStr">
        <is>
          <t>gnosis</t>
        </is>
      </c>
      <c r="D29">
        <f>HYPERLINK("https://v2.proofofhumanity.id/0x12c8585b54220fb7b59599b51f76cac4e12f55fe","Open profile")</f>
      </c>
    </row>
    <row r="30">
      <c r="A30" t="inlineStr">
        <is>
          <t>0x13dd903e0a2b146e13dc28b9dd595f1a96549e74</t>
        </is>
      </c>
      <c r="B30" t="inlineStr">
        <is>
          <t>0x13dd903e0a2b146e13dc28b9dd595f1a96549e74</t>
        </is>
      </c>
      <c r="C30" t="inlineStr">
        <is>
          <t>gnosis</t>
        </is>
      </c>
      <c r="D30">
        <f>HYPERLINK("https://v2.proofofhumanity.id/0x13dd903e0a2b146e13dc28b9dd595f1a96549e74","Open profile")</f>
      </c>
    </row>
    <row r="31">
      <c r="A31" t="inlineStr">
        <is>
          <t>0x1b20d50e6c5e418c14ad5cf5f055d6ff13e2e5c3</t>
        </is>
      </c>
      <c r="B31" t="inlineStr">
        <is>
          <t>0x1b20d50e6c5e418c14ad5cf5f055d6ff13e2e5c3</t>
        </is>
      </c>
      <c r="C31" t="inlineStr">
        <is>
          <t>gnosis</t>
        </is>
      </c>
      <c r="D31">
        <f>HYPERLINK("https://v2.proofofhumanity.id/0x1b20d50e6c5e418c14ad5cf5f055d6ff13e2e5c3","Open profile")</f>
      </c>
    </row>
    <row r="32">
      <c r="A32" t="inlineStr">
        <is>
          <t>0x1e49f7e8dc7b545132cd34042ca8a8e605882575</t>
        </is>
      </c>
      <c r="B32" t="inlineStr">
        <is>
          <t>0x1e49f7e8dc7b545132cd34042ca8a8e605882575</t>
        </is>
      </c>
      <c r="C32" t="inlineStr">
        <is>
          <t>gnosis</t>
        </is>
      </c>
      <c r="D32">
        <f>HYPERLINK("https://v2.proofofhumanity.id/0x1e49f7e8dc7b545132cd34042ca8a8e605882575","Open profile")</f>
      </c>
    </row>
    <row r="33">
      <c r="A33" t="inlineStr">
        <is>
          <t>0x29e7e1c00ff13a43468b980049661db5b9bd574d</t>
        </is>
      </c>
      <c r="B33" t="inlineStr">
        <is>
          <t>0x29e7e1c00ff13a43468b980049661db5b9bd574d</t>
        </is>
      </c>
      <c r="C33" t="inlineStr">
        <is>
          <t>gnosis</t>
        </is>
      </c>
      <c r="D33">
        <f>HYPERLINK("https://v2.proofofhumanity.id/0x29e7e1c00ff13a43468b980049661db5b9bd574d","Open profile")</f>
      </c>
    </row>
    <row r="34">
      <c r="A34" t="inlineStr">
        <is>
          <t>0x3099413ed2f687cda893762fa7c17ea60d385e05</t>
        </is>
      </c>
      <c r="B34" t="inlineStr">
        <is>
          <t>0x3099413ed2f687cda893762fa7c17ea60d385e05</t>
        </is>
      </c>
      <c r="C34" t="inlineStr">
        <is>
          <t>gnosis</t>
        </is>
      </c>
      <c r="D34">
        <f>HYPERLINK("https://v2.proofofhumanity.id/0x3099413ed2f687cda893762fa7c17ea60d385e05","Open profile")</f>
      </c>
    </row>
    <row r="35">
      <c r="A35" t="inlineStr">
        <is>
          <t>0x3c13f2b56af614ac6381265ecb3b619ba26cc641</t>
        </is>
      </c>
      <c r="B35" t="inlineStr">
        <is>
          <t>0x3c13f2b56af614ac6381265ecb3b619ba26cc641</t>
        </is>
      </c>
      <c r="C35" t="inlineStr">
        <is>
          <t>gnosis</t>
        </is>
      </c>
      <c r="D35">
        <f>HYPERLINK("https://v2.proofofhumanity.id/0x3c13f2b56af614ac6381265ecb3b619ba26cc641","Open profile")</f>
      </c>
    </row>
    <row r="36">
      <c r="A36" t="inlineStr">
        <is>
          <t>0x3c6fe781b36cb2c89e1c355572e21022f6b65372</t>
        </is>
      </c>
      <c r="B36" t="inlineStr">
        <is>
          <t>0x3c6fe781b36cb2c89e1c355572e21022f6b65372</t>
        </is>
      </c>
      <c r="C36" t="inlineStr">
        <is>
          <t>gnosis</t>
        </is>
      </c>
      <c r="D36">
        <f>HYPERLINK("https://v2.proofofhumanity.id/0x3c6fe781b36cb2c89e1c355572e21022f6b65372","Open profile")</f>
      </c>
    </row>
    <row r="37">
      <c r="A37" t="inlineStr">
        <is>
          <t>0x3cbbdc5e6b615eaf094d41fd0f4422c72bcbe8ff</t>
        </is>
      </c>
      <c r="B37" t="inlineStr">
        <is>
          <t>0x3cbbdc5e6b615eaf094d41fd0f4422c72bcbe8ff</t>
        </is>
      </c>
      <c r="C37" t="inlineStr">
        <is>
          <t>gnosis</t>
        </is>
      </c>
      <c r="D37">
        <f>HYPERLINK("https://v2.proofofhumanity.id/0x3cbbdc5e6b615eaf094d41fd0f4422c72bcbe8ff","Open profile")</f>
      </c>
    </row>
    <row r="38">
      <c r="A38" t="inlineStr">
        <is>
          <t>0x3df9aa7083ffa957b6b83c8514a792ce38c57e22</t>
        </is>
      </c>
      <c r="B38" t="inlineStr">
        <is>
          <t>0x3df9aa7083ffa957b6b83c8514a792ce38c57e22</t>
        </is>
      </c>
      <c r="C38" t="inlineStr">
        <is>
          <t>gnosis</t>
        </is>
      </c>
      <c r="D38">
        <f>HYPERLINK("https://v2.proofofhumanity.id/0x3df9aa7083ffa957b6b83c8514a792ce38c57e22","Open profile")</f>
      </c>
    </row>
    <row r="39">
      <c r="A39" t="inlineStr">
        <is>
          <t>0x3e992f3fe108f5228ef624e2c207ce3dddfe7558</t>
        </is>
      </c>
      <c r="B39" t="inlineStr">
        <is>
          <t>0x3e992f3fe108f5228ef624e2c207ce3dddfe7558</t>
        </is>
      </c>
      <c r="C39" t="inlineStr">
        <is>
          <t>gnosis</t>
        </is>
      </c>
      <c r="D39">
        <f>HYPERLINK("https://v2.proofofhumanity.id/0x3e992f3fe108f5228ef624e2c207ce3dddfe7558","Open profile")</f>
      </c>
    </row>
    <row r="40">
      <c r="A40" t="inlineStr">
        <is>
          <t>0x4f369963b887bf980d616621cd256b78f66a9b90</t>
        </is>
      </c>
      <c r="B40" t="inlineStr">
        <is>
          <t>0x4f369963b887bf980d616621cd256b78f66a9b90</t>
        </is>
      </c>
      <c r="C40" t="inlineStr">
        <is>
          <t>gnosis</t>
        </is>
      </c>
      <c r="D40">
        <f>HYPERLINK("https://v2.proofofhumanity.id/0x4f369963b887bf980d616621cd256b78f66a9b90","Open profile")</f>
      </c>
    </row>
    <row r="41">
      <c r="A41" t="inlineStr">
        <is>
          <t>0x54073e78c8bf7731c6bbe27d3af94ce0335f85d1</t>
        </is>
      </c>
      <c r="B41" t="inlineStr">
        <is>
          <t>0x54073e78c8bf7731c6bbe27d3af94ce0335f85d1</t>
        </is>
      </c>
      <c r="C41" t="inlineStr">
        <is>
          <t>gnosis</t>
        </is>
      </c>
      <c r="D41">
        <f>HYPERLINK("https://v2.proofofhumanity.id/0x54073e78c8bf7731c6bbe27d3af94ce0335f85d1","Open profile")</f>
      </c>
    </row>
    <row r="42">
      <c r="A42" t="inlineStr">
        <is>
          <t>0x5700f03f87db485fdb90e18b3100f00b235886f1</t>
        </is>
      </c>
      <c r="B42" t="inlineStr">
        <is>
          <t>0x5700f03f87db485fdb90e18b3100f00b235886f1</t>
        </is>
      </c>
      <c r="C42" t="inlineStr">
        <is>
          <t>gnosis</t>
        </is>
      </c>
      <c r="D42">
        <f>HYPERLINK("https://v2.proofofhumanity.id/0x5700f03f87db485fdb90e18b3100f00b235886f1","Open profile")</f>
      </c>
    </row>
    <row r="43">
      <c r="A43" t="inlineStr">
        <is>
          <t>0x5ae31b437851b57a491603d6c7a845b61c88f1f5</t>
        </is>
      </c>
      <c r="B43" t="inlineStr">
        <is>
          <t>0x5ae31b437851b57a491603d6c7a845b61c88f1f5</t>
        </is>
      </c>
      <c r="C43" t="inlineStr">
        <is>
          <t>gnosis</t>
        </is>
      </c>
      <c r="D43">
        <f>HYPERLINK("https://v2.proofofhumanity.id/0x5ae31b437851b57a491603d6c7a845b61c88f1f5","Open profile")</f>
      </c>
    </row>
    <row r="44">
      <c r="A44" t="inlineStr">
        <is>
          <t>0x5be1580bbdff10b11cccd85ab4a9a455655dfde2</t>
        </is>
      </c>
      <c r="B44" t="inlineStr">
        <is>
          <t>0x5be1580bbdff10b11cccd85ab4a9a455655dfde2</t>
        </is>
      </c>
      <c r="C44" t="inlineStr">
        <is>
          <t>gnosis</t>
        </is>
      </c>
      <c r="D44">
        <f>HYPERLINK("https://v2.proofofhumanity.id/0x5be1580bbdff10b11cccd85ab4a9a455655dfde2","Open profile")</f>
      </c>
    </row>
    <row r="45">
      <c r="A45" t="inlineStr">
        <is>
          <t>0x5c16873795d083fab71d4cbf5b073d22cf38f659</t>
        </is>
      </c>
      <c r="B45" t="inlineStr">
        <is>
          <t>0x5c16873795d083fab71d4cbf5b073d22cf38f659</t>
        </is>
      </c>
      <c r="C45" t="inlineStr">
        <is>
          <t>gnosis</t>
        </is>
      </c>
      <c r="D45">
        <f>HYPERLINK("https://v2.proofofhumanity.id/0x5c16873795d083fab71d4cbf5b073d22cf38f659","Open profile")</f>
      </c>
    </row>
    <row r="46">
      <c r="A46" t="inlineStr">
        <is>
          <t>0x83d363c0b81b9e0508aaf9b849e10e906253b07a</t>
        </is>
      </c>
      <c r="B46" t="inlineStr">
        <is>
          <t>0x83d363c0b81b9e0508aaf9b849e10e906253b07a</t>
        </is>
      </c>
      <c r="C46" t="inlineStr">
        <is>
          <t>gnosis</t>
        </is>
      </c>
      <c r="D46">
        <f>HYPERLINK("https://v2.proofofhumanity.id/0x83d363c0b81b9e0508aaf9b849e10e906253b07a","Open profile")</f>
      </c>
    </row>
    <row r="47">
      <c r="A47" t="inlineStr">
        <is>
          <t>0x89c4acb8b5b5b8e5b2121934b9e143569a914c80</t>
        </is>
      </c>
      <c r="B47" t="inlineStr">
        <is>
          <t>0x89c4acb8b5b5b8e5b2121934b9e143569a914c80</t>
        </is>
      </c>
      <c r="C47" t="inlineStr">
        <is>
          <t>gnosis</t>
        </is>
      </c>
      <c r="D47">
        <f>HYPERLINK("https://v2.proofofhumanity.id/0x89c4acb8b5b5b8e5b2121934b9e143569a914c80","Open profile")</f>
      </c>
    </row>
    <row r="48">
      <c r="A48" t="inlineStr">
        <is>
          <t>0x9adebc103fa4f2c528da135389c187031580ba7a</t>
        </is>
      </c>
      <c r="B48" t="inlineStr">
        <is>
          <t>0x9adebc103fa4f2c528da135389c187031580ba7a</t>
        </is>
      </c>
      <c r="C48" t="inlineStr">
        <is>
          <t>gnosis</t>
        </is>
      </c>
      <c r="D48">
        <f>HYPERLINK("https://v2.proofofhumanity.id/0x9adebc103fa4f2c528da135389c187031580ba7a","Open profile")</f>
      </c>
    </row>
    <row r="49">
      <c r="A49" t="inlineStr">
        <is>
          <t>0x9c223df85a94d5659c59fe32fc42103119d207cb</t>
        </is>
      </c>
      <c r="B49" t="inlineStr">
        <is>
          <t>0x9c223df85a94d5659c59fe32fc42103119d207cb</t>
        </is>
      </c>
      <c r="C49" t="inlineStr">
        <is>
          <t>gnosis</t>
        </is>
      </c>
      <c r="D49">
        <f>HYPERLINK("https://v2.proofofhumanity.id/0x9c223df85a94d5659c59fe32fc42103119d207cb","Open profile")</f>
      </c>
    </row>
    <row r="50">
      <c r="A50" t="inlineStr">
        <is>
          <t>0xa4b423909c829b1a040e7e1a012fccefa90116a7</t>
        </is>
      </c>
      <c r="B50" t="inlineStr">
        <is>
          <t>0xa4b423909c829b1a040e7e1a012fccefa90116a7</t>
        </is>
      </c>
      <c r="C50" t="inlineStr">
        <is>
          <t>gnosis</t>
        </is>
      </c>
      <c r="D50">
        <f>HYPERLINK("https://v2.proofofhumanity.id/0xa4b423909c829b1a040e7e1a012fccefa90116a7","Open profile")</f>
      </c>
    </row>
    <row r="51">
      <c r="A51" t="inlineStr">
        <is>
          <t>0xa72ef9bb82d59464eaa63f461c273f8028b20f5c</t>
        </is>
      </c>
      <c r="B51" t="inlineStr">
        <is>
          <t>0xa72ef9bb82d59464eaa63f461c273f8028b20f5c</t>
        </is>
      </c>
      <c r="C51" t="inlineStr">
        <is>
          <t>gnosis</t>
        </is>
      </c>
      <c r="D51">
        <f>HYPERLINK("https://v2.proofofhumanity.id/0xa72ef9bb82d59464eaa63f461c273f8028b20f5c","Open profile")</f>
      </c>
    </row>
    <row r="52">
      <c r="A52" t="inlineStr">
        <is>
          <t>0xb626b10c9942aa480e4887793d30cf88a16be56d</t>
        </is>
      </c>
      <c r="B52" t="inlineStr">
        <is>
          <t>0xb626b10c9942aa480e4887793d30cf88a16be56d</t>
        </is>
      </c>
      <c r="C52" t="inlineStr">
        <is>
          <t>gnosis</t>
        </is>
      </c>
      <c r="D52">
        <f>HYPERLINK("https://v2.proofofhumanity.id/0xb626b10c9942aa480e4887793d30cf88a16be56d","Open profile")</f>
      </c>
    </row>
    <row r="53">
      <c r="A53" t="inlineStr">
        <is>
          <t>0xb950fc51a4f5fb19b06d282cc98cfe762820da13</t>
        </is>
      </c>
      <c r="B53" t="inlineStr">
        <is>
          <t>0xb950fc51a4f5fb19b06d282cc98cfe762820da13</t>
        </is>
      </c>
      <c r="C53" t="inlineStr">
        <is>
          <t>gnosis</t>
        </is>
      </c>
      <c r="D53">
        <f>HYPERLINK("https://v2.proofofhumanity.id/0xb950fc51a4f5fb19b06d282cc98cfe762820da13","Open profile")</f>
      </c>
    </row>
    <row r="54">
      <c r="A54" t="inlineStr">
        <is>
          <t>0xca1c0b350b59fdeb63b45cc478a551d5950e7a83</t>
        </is>
      </c>
      <c r="B54" t="inlineStr">
        <is>
          <t>0xca1c0b350b59fdeb63b45cc478a551d5950e7a83</t>
        </is>
      </c>
      <c r="C54" t="inlineStr">
        <is>
          <t>gnosis</t>
        </is>
      </c>
      <c r="D54">
        <f>HYPERLINK("https://v2.proofofhumanity.id/0xca1c0b350b59fdeb63b45cc478a551d5950e7a83","Open profile")</f>
      </c>
    </row>
    <row r="55">
      <c r="A55" t="inlineStr">
        <is>
          <t>0xcb2886c7bc29b7cadbd900b4a71a5e1797aae23d</t>
        </is>
      </c>
      <c r="B55" t="inlineStr">
        <is>
          <t>0xcb2886c7bc29b7cadbd900b4a71a5e1797aae23d</t>
        </is>
      </c>
      <c r="C55" t="inlineStr">
        <is>
          <t>gnosis</t>
        </is>
      </c>
      <c r="D55">
        <f>HYPERLINK("https://v2.proofofhumanity.id/0xcb2886c7bc29b7cadbd900b4a71a5e1797aae23d","Open profile")</f>
      </c>
    </row>
    <row r="56">
      <c r="A56" t="inlineStr">
        <is>
          <t>0xcf3c78a77ff01b451a21301a522c48b92a029e70</t>
        </is>
      </c>
      <c r="B56" t="inlineStr">
        <is>
          <t>0xeb31c98c9d320ca0a0b360d1ae6c214dbbbe5b4c</t>
        </is>
      </c>
      <c r="C56" t="inlineStr">
        <is>
          <t>gnosis</t>
        </is>
      </c>
      <c r="D56">
        <f>HYPERLINK("https://v2.proofofhumanity.id/0xcf3c78a77ff01b451a21301a522c48b92a029e70","Open profile")</f>
      </c>
    </row>
    <row r="57">
      <c r="A57" t="inlineStr">
        <is>
          <t>0xd14eb612c81e87c7861b458914ed78a1dc1ab3cf</t>
        </is>
      </c>
      <c r="B57" t="inlineStr">
        <is>
          <t>0x3693df71e1120476a20f82dfaff0067260156c8a</t>
        </is>
      </c>
      <c r="C57" t="inlineStr">
        <is>
          <t>gnosis</t>
        </is>
      </c>
      <c r="D57">
        <f>HYPERLINK("https://v2.proofofhumanity.id/0xd14eb612c81e87c7861b458914ed78a1dc1ab3cf","Open profile")</f>
      </c>
    </row>
    <row r="58">
      <c r="A58" t="inlineStr">
        <is>
          <t>0xd902097ac9fff1b6c691fee720b95e1787133fce</t>
        </is>
      </c>
      <c r="B58" t="inlineStr">
        <is>
          <t>0xd902097ac9fff1b6c691fee720b95e1787133fce</t>
        </is>
      </c>
      <c r="C58" t="inlineStr">
        <is>
          <t>gnosis</t>
        </is>
      </c>
      <c r="D58">
        <f>HYPERLINK("https://v2.proofofhumanity.id/0xd902097ac9fff1b6c691fee720b95e1787133fce","Open profile")</f>
      </c>
    </row>
    <row r="59">
      <c r="A59" t="inlineStr">
        <is>
          <t>0xe4ececac59100ef4b14f2b1110c5ce0b0797d681</t>
        </is>
      </c>
      <c r="B59" t="inlineStr">
        <is>
          <t>0xe4ececac59100ef4b14f2b1110c5ce0b0797d681</t>
        </is>
      </c>
      <c r="C59" t="inlineStr">
        <is>
          <t>gnosis</t>
        </is>
      </c>
      <c r="D59">
        <f>HYPERLINK("https://v2.proofofhumanity.id/0xe4ececac59100ef4b14f2b1110c5ce0b0797d681","Open profile")</f>
      </c>
    </row>
    <row r="60">
      <c r="A60" t="inlineStr">
        <is>
          <t>0xe7f13052fe2ba7d038dac18de5e730542e3979bc</t>
        </is>
      </c>
      <c r="B60" t="inlineStr">
        <is>
          <t>0xe7f13052fe2ba7d038dac18de5e730542e3979bc</t>
        </is>
      </c>
      <c r="C60" t="inlineStr">
        <is>
          <t>gnosis</t>
        </is>
      </c>
      <c r="D60">
        <f>HYPERLINK("https://v2.proofofhumanity.id/0xe7f13052fe2ba7d038dac18de5e730542e3979bc","Open profile")</f>
      </c>
    </row>
    <row r="61">
      <c r="A61" t="inlineStr">
        <is>
          <t>0xe9a12e575e9523820a39bb91886dbbedfe8837fa</t>
        </is>
      </c>
      <c r="B61" t="inlineStr">
        <is>
          <t>0xe9a12e575e9523820a39bb91886dbbedfe8837fa</t>
        </is>
      </c>
      <c r="C61" t="inlineStr">
        <is>
          <t>gnosis</t>
        </is>
      </c>
      <c r="D61">
        <f>HYPERLINK("https://v2.proofofhumanity.id/0xe9a12e575e9523820a39bb91886dbbedfe8837fa","Open profile")</f>
      </c>
    </row>
    <row r="62">
      <c r="A62" t="inlineStr">
        <is>
          <t>0xee2db4c44ee6b94be3e4cc0e0a09759b04505db9</t>
        </is>
      </c>
      <c r="B62" t="inlineStr">
        <is>
          <t>0xee2db4c44ee6b94be3e4cc0e0a09759b04505db9</t>
        </is>
      </c>
      <c r="C62" t="inlineStr">
        <is>
          <t>gnosis</t>
        </is>
      </c>
      <c r="D62">
        <f>HYPERLINK("https://v2.proofofhumanity.id/0xee2db4c44ee6b94be3e4cc0e0a09759b04505db9","Open profile")</f>
      </c>
    </row>
    <row r="63">
      <c r="A63" t="inlineStr">
        <is>
          <t>0xf36496fc692a13cf5c1110be17dfb08b7fe966e6</t>
        </is>
      </c>
      <c r="B63" t="inlineStr">
        <is>
          <t>0xf36496fc692a13cf5c1110be17dfb08b7fe966e6</t>
        </is>
      </c>
      <c r="C63" t="inlineStr">
        <is>
          <t>gnosis</t>
        </is>
      </c>
      <c r="D63">
        <f>HYPERLINK("https://v2.proofofhumanity.id/0xf36496fc692a13cf5c1110be17dfb08b7fe966e6","Open profile")</f>
      </c>
    </row>
    <row r="64">
      <c r="A64" t="inlineStr">
        <is>
          <t>0xfa00d29d378edc57aa1006946f0fc6230a5e3288</t>
        </is>
      </c>
      <c r="B64" t="inlineStr">
        <is>
          <t>0xfa00d29d378edc57aa1006946f0fc6230a5e3288</t>
        </is>
      </c>
      <c r="C64" t="inlineStr">
        <is>
          <t>gnosis</t>
        </is>
      </c>
      <c r="D64">
        <f>HYPERLINK("https://v2.proofofhumanity.id/0xfa00d29d378edc57aa1006946f0fc6230a5e3288","Open profile")</f>
      </c>
    </row>
    <row r="65">
      <c r="A65" t="inlineStr">
        <is>
          <t>0xfd1af514b8b2bf00d1999497668bff26ccdf4c8a</t>
        </is>
      </c>
      <c r="B65" t="inlineStr">
        <is>
          <t>0xfd1af514b8b2bf00d1999497668bff26ccdf4c8a</t>
        </is>
      </c>
      <c r="C65" t="inlineStr">
        <is>
          <t>gnosis</t>
        </is>
      </c>
      <c r="D65">
        <f>HYPERLINK("https://v2.proofofhumanity.id/0xfd1af514b8b2bf00d1999497668bff26ccdf4c8a","Open profile")</f>
      </c>
    </row>
  </sheetData>
</worksheet>
</file>